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4D3D5B2DFB45B98F/Documents/D4CAE/Clim Springboard/FCCT Lochrin Belle barge/"/>
    </mc:Choice>
  </mc:AlternateContent>
  <xr:revisionPtr revIDLastSave="32" documentId="8_{64284108-DCA7-4815-8BF9-96F6415F0035}" xr6:coauthVersionLast="47" xr6:coauthVersionMax="47" xr10:uidLastSave="{D74EF2C3-7DF2-49FE-B90B-88CC58D75E87}"/>
  <bookViews>
    <workbookView xWindow="-96" yWindow="-96" windowWidth="23232" windowHeight="12432" xr2:uid="{6BF19520-3E32-4CCD-B055-DA74050A5995}"/>
  </bookViews>
  <sheets>
    <sheet name="high confidence" sheetId="3" r:id="rId1"/>
    <sheet name="rough estimates" sheetId="1" r:id="rId2"/>
    <sheet name="Rate example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3" l="1"/>
  <c r="L2" i="3"/>
  <c r="L4" i="3"/>
  <c r="K2" i="3"/>
  <c r="K3" i="3"/>
  <c r="I3" i="3"/>
  <c r="I2" i="3"/>
  <c r="D3" i="3"/>
  <c r="G3" i="3"/>
  <c r="G2" i="3"/>
  <c r="E3" i="3"/>
  <c r="E2" i="3"/>
  <c r="B25" i="1"/>
  <c r="G4" i="3"/>
  <c r="F2" i="1"/>
  <c r="H3" i="1"/>
  <c r="F3" i="1"/>
  <c r="E10" i="2"/>
  <c r="E12" i="2"/>
  <c r="D12" i="2" s="1"/>
  <c r="E13" i="2"/>
  <c r="D13" i="2" s="1"/>
  <c r="E11" i="2"/>
  <c r="C11" i="2"/>
  <c r="E14" i="2"/>
  <c r="D14" i="2" s="1"/>
  <c r="J3" i="1"/>
  <c r="H4" i="1"/>
  <c r="J2" i="1"/>
  <c r="L2" i="1" s="1"/>
  <c r="M2" i="1" s="1"/>
  <c r="M4" i="1" s="1"/>
  <c r="J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tc={1B232CEE-D70F-4597-8E43-926F306FAC9E}</author>
    <author>tc={96F2A246-4FDE-4FCB-896C-9FBD256B1A16}</author>
    <author>tc={11BA285C-52FA-4129-AF7A-40B48307EF78}</author>
  </authors>
  <commentList>
    <comment ref="B2" authorId="0" shapeId="0" xr:uid="{1B232CEE-D70F-4597-8E43-926F306FAC9E}">
      <text>
        <t>[Threaded comment]
Your version of Excel allows you to read this threaded comment; however, any edits to it will get removed if the file is opened in a newer version of Excel. Learn more: https://go.microsoft.com/fwlink/?linkid=870924
Comment:
    Perhaps not at full load?!?!</t>
      </text>
    </comment>
    <comment ref="D3" authorId="1" shapeId="0" xr:uid="{96F2A246-4FDE-4FCB-896C-9FBD256B1A16}">
      <text>
        <t>[Threaded comment]
Your version of Excel allows you to read this threaded comment; however, any edits to it will get removed if the file is opened in a newer version of Excel. Learn more: https://go.microsoft.com/fwlink/?linkid=870924
Comment:
    Estimate, see Note 1</t>
      </text>
    </comment>
    <comment ref="F4" authorId="2" shapeId="0" xr:uid="{11BA285C-52FA-4129-AF7A-40B48307EF78}">
      <text>
        <t>[Threaded comment]
Your version of Excel allows you to read this threaded comment; however, any edits to it will get removed if the file is opened in a newer version of Excel. Learn more: https://go.microsoft.com/fwlink/?linkid=870924
Comment:
    Wrong!!!!!!</t>
      </text>
    </comment>
  </commentList>
</comments>
</file>

<file path=xl/sharedStrings.xml><?xml version="1.0" encoding="utf-8"?>
<sst xmlns="http://schemas.openxmlformats.org/spreadsheetml/2006/main" count="77" uniqueCount="63">
  <si>
    <t>Electrical energy equivalent rate (kW)</t>
  </si>
  <si>
    <t>Barge motor engine</t>
  </si>
  <si>
    <t>Generator</t>
  </si>
  <si>
    <t>Estimated usage 2024 calendar year (hours)</t>
  </si>
  <si>
    <t>Estimated mileage 2024 calendar year</t>
  </si>
  <si>
    <t>NA</t>
  </si>
  <si>
    <t>Emission factor (kgCO2eq/ltr)</t>
  </si>
  <si>
    <t>Combined Engine + generator</t>
  </si>
  <si>
    <t>Fuel usage 2024 (litres)</t>
  </si>
  <si>
    <t>unknown</t>
  </si>
  <si>
    <t>Estimated reduction in emissions</t>
  </si>
  <si>
    <t>Projected consumption of energy for 2026 (kWh)</t>
  </si>
  <si>
    <t>none</t>
  </si>
  <si>
    <t>Emission factor for electricity</t>
  </si>
  <si>
    <t>NA (the new generator will be diesel)</t>
  </si>
  <si>
    <t>Estimated emissions 2026</t>
  </si>
  <si>
    <t>Estimated carbon emissions 2024 (kg CO2)</t>
  </si>
  <si>
    <t>Component</t>
  </si>
  <si>
    <t>Note 1: Estimated based on typical values</t>
  </si>
  <si>
    <t>Note 3: Estimated based on intended change in practice</t>
  </si>
  <si>
    <t>Note 2: The new boat will be able to make use of shore power when static and deliver most of its work (to power lighting etc) from batteries, with the new diesel generator primarily kept as a fallback option.</t>
  </si>
  <si>
    <t>7.5 kW generator</t>
  </si>
  <si>
    <t>0.3 litres per kWh</t>
  </si>
  <si>
    <t>3.33 kW per litre</t>
  </si>
  <si>
    <t>1 Watt is equivalent to 1 Volt-Ampere</t>
  </si>
  <si>
    <t>1kW == 1kVA</t>
  </si>
  <si>
    <t>Examples</t>
  </si>
  <si>
    <t>Perkins 57kW</t>
  </si>
  <si>
    <t>Consumption litres/hr</t>
  </si>
  <si>
    <t>Power kW</t>
  </si>
  <si>
    <t>kWh / litre</t>
  </si>
  <si>
    <t>AI example 7.5kW</t>
  </si>
  <si>
    <t>Consumption litres per kWh</t>
  </si>
  <si>
    <t>Loncin</t>
  </si>
  <si>
    <t>Kubota</t>
  </si>
  <si>
    <t>?</t>
  </si>
  <si>
    <t>aggreko</t>
  </si>
  <si>
    <t>Conn</t>
  </si>
  <si>
    <t>Fuel consumption rate (litres per kWh)</t>
  </si>
  <si>
    <t>Barge diesel motor</t>
  </si>
  <si>
    <t>At speed 1.75 mph</t>
  </si>
  <si>
    <t>Consumption litres per hour</t>
  </si>
  <si>
    <t>Fuel consumption (litres per hr at 1.75 mph)</t>
  </si>
  <si>
    <t>Engine / drive</t>
  </si>
  <si>
    <t>2024 consumption (litres)</t>
  </si>
  <si>
    <t>Engine + generator combined total</t>
  </si>
  <si>
    <t xml:space="preserve">Note on estimate confidence: </t>
  </si>
  <si>
    <t>The sum of the estimated motor engine fuel plus generator fuel is approx three times the reported combined fuel usage of 1,446 litres.</t>
  </si>
  <si>
    <t xml:space="preserve">The estimate for the generator alone is double the real total fuel usage, so must be wrong. </t>
  </si>
  <si>
    <t xml:space="preserve">We are confident the barge covered approx one thousand miles. </t>
  </si>
  <si>
    <t xml:space="preserve">Regardless of speed, the fuel to cover that distance would be similar, so we can be fairly confident of the engine usage. </t>
  </si>
  <si>
    <t xml:space="preserve">Meanwhile it is possible the generator, although possibly in use for many hours, was perhaps rarely running at anywhere near full wattage. </t>
  </si>
  <si>
    <t xml:space="preserve">Thus, the consumption rate of 0.38 litres per kwh was calculated to mean the generator used more than 2 litres of diesel every hour, which seems really a lot, and thus resulted in nearly three thousand total, definitely incorrect. </t>
  </si>
  <si>
    <t xml:space="preserve">Whereas if we assume the lighting and nav system might need only 1.5 kW, then less fuel would be used, say one fifth. </t>
  </si>
  <si>
    <t xml:space="preserve">2981 / 5 =&gt; </t>
  </si>
  <si>
    <t xml:space="preserve">Therefore, assume roughly one tenth the fuel usage compared to 2024. </t>
  </si>
  <si>
    <t xml:space="preserve">This still gives us a total that is above the total consumption reported. </t>
  </si>
  <si>
    <t xml:space="preserve">New generator will be used "minimally as opposed to our current arrangement", as it will be run on electricity when moored, and from battery most of the time when sailing. </t>
  </si>
  <si>
    <t>Notes</t>
  </si>
  <si>
    <t xml:space="preserve">FCCT kindly sent further detail about 'genny' generator etc confirming it is reasonable to estimate the usage as being low, possibly one tenth of max possible. </t>
  </si>
  <si>
    <t>Hours</t>
  </si>
  <si>
    <t>N/A</t>
  </si>
  <si>
    <t>Estimated emissions 2026 (kg 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</si>
</sst>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_-* #,##0_-;\-* #,##0_-;_-* &quot;-&quot;??_-;_-@_-"/>
    <numFmt numFmtId="166" formatCode="_-* #,##0.0_-;\-* #,##0.0_-;_-* &quot;-&quot;??_-;_-@_-"/>
  </numFmts>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sz val="12"/>
      <color rgb="FF000000"/>
      <name val="Arial"/>
      <family val="2"/>
    </font>
  </fonts>
  <fills count="4">
    <fill>
      <patternFill patternType="none"/>
    </fill>
    <fill>
      <patternFill patternType="gray125"/>
    </fill>
    <fill>
      <patternFill patternType="solid">
        <fgColor theme="5"/>
        <bgColor indexed="64"/>
      </patternFill>
    </fill>
    <fill>
      <patternFill patternType="solid">
        <fgColor theme="9"/>
        <bgColor theme="9"/>
      </patternFill>
    </fill>
  </fills>
  <borders count="8">
    <border>
      <left/>
      <right/>
      <top/>
      <bottom/>
      <diagonal/>
    </border>
    <border>
      <left/>
      <right/>
      <top style="thin">
        <color theme="9"/>
      </top>
      <bottom/>
      <diagonal/>
    </border>
    <border>
      <left/>
      <right style="thin">
        <color theme="9"/>
      </right>
      <top style="thin">
        <color theme="9"/>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s>
  <cellStyleXfs count="2">
    <xf numFmtId="0" fontId="0" fillId="0" borderId="0"/>
    <xf numFmtId="43" fontId="1" fillId="0" borderId="0" applyFont="0" applyFill="0" applyBorder="0" applyAlignment="0" applyProtection="0"/>
  </cellStyleXfs>
  <cellXfs count="26">
    <xf numFmtId="0" fontId="0" fillId="0" borderId="0" xfId="0"/>
    <xf numFmtId="0" fontId="0" fillId="0" borderId="0" xfId="0" applyAlignment="1">
      <alignment wrapText="1"/>
    </xf>
    <xf numFmtId="164" fontId="0" fillId="0" borderId="0" xfId="0" applyNumberFormat="1"/>
    <xf numFmtId="165" fontId="0" fillId="0" borderId="0" xfId="1" applyNumberFormat="1" applyFont="1"/>
    <xf numFmtId="165" fontId="0" fillId="0" borderId="0" xfId="0" applyNumberFormat="1"/>
    <xf numFmtId="2" fontId="0" fillId="0" borderId="0" xfId="0" applyNumberFormat="1"/>
    <xf numFmtId="0" fontId="0" fillId="0" borderId="0" xfId="0" applyAlignment="1">
      <alignment horizontal="center" wrapText="1"/>
    </xf>
    <xf numFmtId="166" fontId="0" fillId="0" borderId="0" xfId="1" applyNumberFormat="1" applyFont="1"/>
    <xf numFmtId="165" fontId="0" fillId="2" borderId="0" xfId="1" applyNumberFormat="1" applyFont="1" applyFill="1"/>
    <xf numFmtId="165" fontId="0" fillId="2" borderId="0" xfId="0" applyNumberFormat="1" applyFill="1"/>
    <xf numFmtId="0" fontId="2" fillId="3" borderId="1" xfId="0" applyFont="1" applyFill="1" applyBorder="1" applyAlignment="1">
      <alignment horizontal="center" wrapText="1"/>
    </xf>
    <xf numFmtId="0" fontId="3" fillId="0" borderId="0" xfId="0" applyFont="1"/>
    <xf numFmtId="0" fontId="0" fillId="0" borderId="3" xfId="0" applyBorder="1"/>
    <xf numFmtId="0" fontId="0" fillId="0" borderId="3" xfId="0" applyBorder="1" applyAlignment="1">
      <alignment wrapText="1"/>
    </xf>
    <xf numFmtId="0" fontId="0" fillId="0" borderId="4" xfId="0" applyBorder="1"/>
    <xf numFmtId="0" fontId="2" fillId="3" borderId="3" xfId="0" applyFont="1" applyFill="1" applyBorder="1" applyAlignment="1">
      <alignment horizontal="center" wrapText="1"/>
    </xf>
    <xf numFmtId="165" fontId="0" fillId="0" borderId="3" xfId="1" applyNumberFormat="1" applyFont="1" applyBorder="1"/>
    <xf numFmtId="166" fontId="0" fillId="0" borderId="3" xfId="1" applyNumberFormat="1" applyFont="1" applyBorder="1"/>
    <xf numFmtId="0" fontId="0" fillId="0" borderId="3" xfId="0" applyBorder="1" applyAlignment="1">
      <alignment horizontal="center" vertical="center"/>
    </xf>
    <xf numFmtId="3" fontId="0" fillId="0" borderId="6" xfId="0" applyNumberFormat="1" applyBorder="1"/>
    <xf numFmtId="166" fontId="0" fillId="0" borderId="7" xfId="1" applyNumberFormat="1" applyFont="1" applyBorder="1"/>
    <xf numFmtId="0" fontId="2" fillId="3" borderId="2" xfId="0" applyFont="1" applyFill="1" applyBorder="1" applyAlignment="1">
      <alignment horizontal="center" wrapText="1"/>
    </xf>
    <xf numFmtId="166" fontId="0" fillId="0" borderId="5" xfId="1" applyNumberFormat="1" applyFont="1" applyBorder="1"/>
    <xf numFmtId="165" fontId="0" fillId="0" borderId="4" xfId="1" applyNumberFormat="1" applyFont="1" applyBorder="1"/>
    <xf numFmtId="2" fontId="0" fillId="0" borderId="3" xfId="0" applyNumberFormat="1" applyBorder="1"/>
    <xf numFmtId="43" fontId="0" fillId="0" borderId="0" xfId="0" applyNumberFormat="1"/>
  </cellXfs>
  <cellStyles count="2">
    <cellStyle name="Comma" xfId="1" builtinId="3"/>
    <cellStyle name="Normal" xfId="0" builtinId="0"/>
  </cellStyles>
  <dxfs count="2">
    <dxf>
      <fill>
        <patternFill patternType="solid">
          <fgColor indexed="64"/>
          <bgColor theme="5"/>
        </patternFill>
      </fill>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Pauline Data Ward" id="{0C5CCDAD-3FC0-49F8-A5A8-6C6D6BF7299A}" userId="4d3d5b2dfb45b98f"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C5C8B0-A1EF-424D-AB6F-E3BBC4403C96}" name="Table1" displayName="Table1" ref="A1:M4" totalsRowShown="0" headerRowDxfId="1">
  <tableColumns count="13">
    <tableColumn id="1" xr3:uid="{6937934E-B437-41F9-ABC3-70ED0A99BC40}" name="Component"/>
    <tableColumn id="2" xr3:uid="{7B4365DB-FE25-4119-B166-21C81D6876FB}" name="Estimated usage 2024 calendar year (hours)"/>
    <tableColumn id="3" xr3:uid="{F4459849-5879-48CE-9174-137C0EFDF944}" name="Estimated mileage 2024 calendar year"/>
    <tableColumn id="12" xr3:uid="{D8CE83D9-3C2D-4C46-BF92-3197A15D4568}" name="Fuel consumption rate (litres per kWh)"/>
    <tableColumn id="13" xr3:uid="{33E89878-0268-4F2B-AD11-6AF94D6FED96}" name="Fuel consumption (litres per hr at 1.75 mph)"/>
    <tableColumn id="4" xr3:uid="{2246FF4B-A876-442D-9E46-33B6E6ED2AC6}" name="Fuel usage 2024 (litres)" dataDxfId="0"/>
    <tableColumn id="5" xr3:uid="{00A5FEA3-A19F-4AC4-AFEC-1ED60868C10F}" name="Emission factor (kgCO2eq/ltr)"/>
    <tableColumn id="6" xr3:uid="{9AE3A402-29E4-41B0-8519-A8F8B23B57DF}" name="Estimated carbon emissions 2024 (kg CO2)"/>
    <tableColumn id="7" xr3:uid="{1E32DC10-508A-4919-88E8-35D2A54952ED}" name="Electrical energy equivalent rate (kW)"/>
    <tableColumn id="8" xr3:uid="{483179BD-7E52-4238-979D-50363B7AA61E}" name="Projected consumption of energy for 2026 (kWh)"/>
    <tableColumn id="9" xr3:uid="{DC8F91DE-CBE3-4FE0-875E-F81DBA01E7C9}" name="Emission factor for electricity"/>
    <tableColumn id="10" xr3:uid="{C665FC58-D2ED-480A-9376-C14B94F3B33D}" name="Estimated emissions 2026"/>
    <tableColumn id="11" xr3:uid="{EEACF9B5-3712-4C16-A56F-F1C319FC30F5}" name="Estimated reduction in emissions"/>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5-04-09T19:59:53.70" personId="{0C5CCDAD-3FC0-49F8-A5A8-6C6D6BF7299A}" id="{1B232CEE-D70F-4597-8E43-926F306FAC9E}">
    <text>Perhaps not at full load?!?!</text>
  </threadedComment>
  <threadedComment ref="D3" dT="2025-04-09T19:55:52.53" personId="{0C5CCDAD-3FC0-49F8-A5A8-6C6D6BF7299A}" id="{96F2A246-4FDE-4FCB-896C-9FBD256B1A16}">
    <text>Estimate, see Note 1</text>
  </threadedComment>
  <threadedComment ref="F4" dT="2025-04-09T19:58:14.57" personId="{0C5CCDAD-3FC0-49F8-A5A8-6C6D6BF7299A}" id="{11BA285C-52FA-4129-AF7A-40B48307EF78}">
    <text>Wrong!!!!!!</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7866C-0145-414C-81A3-541D2CBD330E}">
  <dimension ref="A1:L9"/>
  <sheetViews>
    <sheetView tabSelected="1" workbookViewId="0">
      <selection activeCell="L3" sqref="L3"/>
    </sheetView>
  </sheetViews>
  <sheetFormatPr defaultRowHeight="14.4" x14ac:dyDescent="0.55000000000000004"/>
  <cols>
    <col min="1" max="1" width="15.41796875" customWidth="1"/>
    <col min="5" max="5" width="11.578125" customWidth="1"/>
    <col min="7" max="7" width="9.734375" customWidth="1"/>
    <col min="8" max="8" width="9.83984375" customWidth="1"/>
  </cols>
  <sheetData>
    <row r="1" spans="1:12" ht="86.4" x14ac:dyDescent="0.55000000000000004">
      <c r="B1" s="15" t="s">
        <v>4</v>
      </c>
      <c r="C1" s="15" t="s">
        <v>60</v>
      </c>
      <c r="D1" s="15" t="s">
        <v>42</v>
      </c>
      <c r="E1" s="13" t="s">
        <v>44</v>
      </c>
      <c r="F1" s="15" t="s">
        <v>6</v>
      </c>
      <c r="G1" s="15" t="s">
        <v>16</v>
      </c>
      <c r="H1" s="10" t="s">
        <v>0</v>
      </c>
      <c r="I1" s="10" t="s">
        <v>11</v>
      </c>
      <c r="J1" s="10" t="s">
        <v>13</v>
      </c>
      <c r="K1" s="10" t="s">
        <v>62</v>
      </c>
      <c r="L1" s="21" t="s">
        <v>10</v>
      </c>
    </row>
    <row r="2" spans="1:12" x14ac:dyDescent="0.55000000000000004">
      <c r="A2" s="14" t="s">
        <v>43</v>
      </c>
      <c r="B2" s="16">
        <v>1000</v>
      </c>
      <c r="C2" s="16">
        <v>506</v>
      </c>
      <c r="D2" s="17">
        <v>2.5</v>
      </c>
      <c r="E2" s="23">
        <f>C2*D2</f>
        <v>1265</v>
      </c>
      <c r="F2" s="18">
        <v>2.67</v>
      </c>
      <c r="G2" s="22">
        <f>E2 * F2</f>
        <v>3377.5499999999997</v>
      </c>
      <c r="H2">
        <v>20</v>
      </c>
      <c r="I2" s="4">
        <f>C2*H2</f>
        <v>10120</v>
      </c>
      <c r="K2" s="4">
        <f>I2*J2</f>
        <v>0</v>
      </c>
      <c r="L2" s="25">
        <f>G2-K2</f>
        <v>3377.5499999999997</v>
      </c>
    </row>
    <row r="3" spans="1:12" x14ac:dyDescent="0.55000000000000004">
      <c r="A3" s="14" t="s">
        <v>2</v>
      </c>
      <c r="B3" s="12" t="s">
        <v>61</v>
      </c>
      <c r="C3" s="16">
        <v>1046</v>
      </c>
      <c r="D3" s="24">
        <f>E3/C3</f>
        <v>0.17304015296367112</v>
      </c>
      <c r="E3" s="23">
        <f>E4 - E2</f>
        <v>181</v>
      </c>
      <c r="F3" s="18"/>
      <c r="G3" s="22">
        <f>E3 * F2</f>
        <v>483.27</v>
      </c>
      <c r="H3">
        <v>0.08</v>
      </c>
      <c r="I3" s="25">
        <f>H3*C3</f>
        <v>83.68</v>
      </c>
      <c r="J3" t="s">
        <v>61</v>
      </c>
      <c r="K3" s="25">
        <f>C3*D3*0.1*F2</f>
        <v>48.327000000000005</v>
      </c>
      <c r="L3" s="25">
        <f>G3-K3</f>
        <v>434.94299999999998</v>
      </c>
    </row>
    <row r="4" spans="1:12" ht="29.1" thickBot="1" x14ac:dyDescent="0.6">
      <c r="A4" s="13" t="s">
        <v>45</v>
      </c>
      <c r="E4" s="19">
        <v>1446</v>
      </c>
      <c r="F4" s="18"/>
      <c r="G4" s="20">
        <f>E4 * F2</f>
        <v>3860.8199999999997</v>
      </c>
      <c r="L4">
        <f>SUM(L2:L3)</f>
        <v>3812.4929999999995</v>
      </c>
    </row>
    <row r="5" spans="1:12" ht="14.7" thickTop="1" x14ac:dyDescent="0.55000000000000004"/>
    <row r="6" spans="1:12" x14ac:dyDescent="0.55000000000000004">
      <c r="A6" t="s">
        <v>58</v>
      </c>
    </row>
    <row r="7" spans="1:12" x14ac:dyDescent="0.55000000000000004">
      <c r="A7" t="s">
        <v>57</v>
      </c>
    </row>
    <row r="8" spans="1:12" ht="15.3" x14ac:dyDescent="0.55000000000000004">
      <c r="A8" s="11"/>
    </row>
    <row r="9" spans="1:12" x14ac:dyDescent="0.55000000000000004">
      <c r="A9" t="s">
        <v>55</v>
      </c>
    </row>
  </sheetData>
  <mergeCells count="1">
    <mergeCell ref="F2: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A2E18-B105-4FB3-9159-221CF6E7B493}">
  <dimension ref="A1:M28"/>
  <sheetViews>
    <sheetView topLeftCell="B1" workbookViewId="0">
      <selection activeCell="J2" sqref="J2"/>
    </sheetView>
  </sheetViews>
  <sheetFormatPr defaultRowHeight="14.4" x14ac:dyDescent="0.55000000000000004"/>
  <cols>
    <col min="1" max="1" width="23.7890625" bestFit="1" customWidth="1"/>
    <col min="2" max="2" width="16.26171875" customWidth="1"/>
    <col min="3" max="3" width="16.578125" customWidth="1"/>
    <col min="4" max="5" width="12.9453125" customWidth="1"/>
    <col min="6" max="6" width="14.3125" customWidth="1"/>
    <col min="7" max="7" width="13.83984375" customWidth="1"/>
    <col min="8" max="8" width="16.7890625" customWidth="1"/>
    <col min="9" max="9" width="14.1015625" customWidth="1"/>
    <col min="10" max="10" width="19.1015625" customWidth="1"/>
    <col min="11" max="11" width="13.9453125" customWidth="1"/>
    <col min="12" max="12" width="14.41796875" customWidth="1"/>
    <col min="13" max="13" width="13.3125" customWidth="1"/>
  </cols>
  <sheetData>
    <row r="1" spans="1:13" ht="57.6" x14ac:dyDescent="0.55000000000000004">
      <c r="A1" t="s">
        <v>17</v>
      </c>
      <c r="B1" s="6" t="s">
        <v>3</v>
      </c>
      <c r="C1" s="6" t="s">
        <v>4</v>
      </c>
      <c r="D1" s="6" t="s">
        <v>38</v>
      </c>
      <c r="E1" s="6" t="s">
        <v>42</v>
      </c>
      <c r="F1" s="6" t="s">
        <v>8</v>
      </c>
      <c r="G1" s="6" t="s">
        <v>6</v>
      </c>
      <c r="H1" s="6" t="s">
        <v>16</v>
      </c>
      <c r="I1" s="6" t="s">
        <v>0</v>
      </c>
      <c r="J1" s="6" t="s">
        <v>11</v>
      </c>
      <c r="K1" s="6" t="s">
        <v>13</v>
      </c>
      <c r="L1" s="6" t="s">
        <v>15</v>
      </c>
      <c r="M1" s="6" t="s">
        <v>10</v>
      </c>
    </row>
    <row r="2" spans="1:13" x14ac:dyDescent="0.55000000000000004">
      <c r="A2" t="s">
        <v>1</v>
      </c>
      <c r="B2" s="3">
        <v>506</v>
      </c>
      <c r="C2" s="3">
        <v>1000</v>
      </c>
      <c r="D2" s="3"/>
      <c r="E2" s="7">
        <v>2.5</v>
      </c>
      <c r="F2" s="8">
        <f>Table1[[#This Row],[Estimated usage 2024 calendar year (hours)]]*Table1[[#This Row],[Fuel consumption (litres per hr at 1.75 mph)]]</f>
        <v>1265</v>
      </c>
      <c r="G2">
        <v>2.67</v>
      </c>
      <c r="H2" s="3" t="s">
        <v>9</v>
      </c>
      <c r="I2" s="2">
        <v>20</v>
      </c>
      <c r="J2" s="3">
        <f>B2*I2</f>
        <v>10120</v>
      </c>
      <c r="K2" t="s">
        <v>9</v>
      </c>
      <c r="L2" t="e">
        <f>J2*K2</f>
        <v>#VALUE!</v>
      </c>
      <c r="M2" s="4" t="e">
        <f>H2-L2</f>
        <v>#VALUE!</v>
      </c>
    </row>
    <row r="3" spans="1:13" x14ac:dyDescent="0.55000000000000004">
      <c r="A3" t="s">
        <v>2</v>
      </c>
      <c r="B3" s="3">
        <v>1046</v>
      </c>
      <c r="C3" t="s">
        <v>5</v>
      </c>
      <c r="D3">
        <v>0.38</v>
      </c>
      <c r="F3" s="9">
        <f>Table1[[#This Row],[Projected consumption of energy for 2026 (kWh)]]*Table1[[#This Row],[Fuel consumption rate (litres per kWh)]]</f>
        <v>2981.1</v>
      </c>
      <c r="G3">
        <v>2.67</v>
      </c>
      <c r="H3" s="4">
        <f>Table1[[#This Row],[Fuel usage 2024 (litres)]]*Table1[[#This Row],[Emission factor (kgCO2eq/ltr)]]</f>
        <v>7959.5369999999994</v>
      </c>
      <c r="I3" s="2">
        <v>7.5</v>
      </c>
      <c r="J3" s="3">
        <f>B3*I3</f>
        <v>7845</v>
      </c>
      <c r="K3" t="s">
        <v>14</v>
      </c>
      <c r="M3" t="s">
        <v>12</v>
      </c>
    </row>
    <row r="4" spans="1:13" x14ac:dyDescent="0.55000000000000004">
      <c r="A4" t="s">
        <v>7</v>
      </c>
      <c r="F4" s="8">
        <v>1446</v>
      </c>
      <c r="G4">
        <v>2.67</v>
      </c>
      <c r="H4" s="4">
        <f>F4*G4</f>
        <v>3860.8199999999997</v>
      </c>
      <c r="I4" t="s">
        <v>5</v>
      </c>
      <c r="J4" s="4">
        <f>SUM(J2:J3)</f>
        <v>17965</v>
      </c>
      <c r="M4" s="4" t="e">
        <f>M2</f>
        <v>#VALUE!</v>
      </c>
    </row>
    <row r="13" spans="1:13" x14ac:dyDescent="0.55000000000000004">
      <c r="A13" t="s">
        <v>18</v>
      </c>
    </row>
    <row r="14" spans="1:13" x14ac:dyDescent="0.55000000000000004">
      <c r="A14" t="s">
        <v>20</v>
      </c>
    </row>
    <row r="15" spans="1:13" x14ac:dyDescent="0.55000000000000004">
      <c r="A15" t="s">
        <v>19</v>
      </c>
    </row>
    <row r="17" spans="1:2" x14ac:dyDescent="0.55000000000000004">
      <c r="A17" t="s">
        <v>46</v>
      </c>
    </row>
    <row r="18" spans="1:2" x14ac:dyDescent="0.55000000000000004">
      <c r="A18" t="s">
        <v>47</v>
      </c>
    </row>
    <row r="19" spans="1:2" x14ac:dyDescent="0.55000000000000004">
      <c r="A19" t="s">
        <v>48</v>
      </c>
    </row>
    <row r="20" spans="1:2" x14ac:dyDescent="0.55000000000000004">
      <c r="A20" t="s">
        <v>49</v>
      </c>
    </row>
    <row r="21" spans="1:2" x14ac:dyDescent="0.55000000000000004">
      <c r="A21" t="s">
        <v>50</v>
      </c>
    </row>
    <row r="22" spans="1:2" x14ac:dyDescent="0.55000000000000004">
      <c r="A22" t="s">
        <v>51</v>
      </c>
    </row>
    <row r="23" spans="1:2" x14ac:dyDescent="0.55000000000000004">
      <c r="A23" t="s">
        <v>52</v>
      </c>
    </row>
    <row r="24" spans="1:2" x14ac:dyDescent="0.55000000000000004">
      <c r="A24" t="s">
        <v>53</v>
      </c>
    </row>
    <row r="25" spans="1:2" x14ac:dyDescent="0.55000000000000004">
      <c r="A25" t="s">
        <v>54</v>
      </c>
      <c r="B25">
        <f>2981/5</f>
        <v>596.20000000000005</v>
      </c>
    </row>
    <row r="26" spans="1:2" x14ac:dyDescent="0.55000000000000004">
      <c r="A26" t="s">
        <v>56</v>
      </c>
    </row>
    <row r="28" spans="1:2" x14ac:dyDescent="0.55000000000000004">
      <c r="A28" t="s">
        <v>59</v>
      </c>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6090-5519-46B5-8791-C22D91CE21FB}">
  <dimension ref="A1:E18"/>
  <sheetViews>
    <sheetView workbookViewId="0">
      <selection activeCell="B17" sqref="B17"/>
    </sheetView>
  </sheetViews>
  <sheetFormatPr defaultRowHeight="14.4" x14ac:dyDescent="0.55000000000000004"/>
  <cols>
    <col min="1" max="1" width="15.1015625" customWidth="1"/>
    <col min="2" max="2" width="12.1015625" customWidth="1"/>
    <col min="3" max="3" width="11.578125" customWidth="1"/>
    <col min="4" max="4" width="11.89453125" customWidth="1"/>
  </cols>
  <sheetData>
    <row r="1" spans="1:5" x14ac:dyDescent="0.55000000000000004">
      <c r="A1" t="s">
        <v>21</v>
      </c>
    </row>
    <row r="2" spans="1:5" x14ac:dyDescent="0.55000000000000004">
      <c r="A2" t="s">
        <v>22</v>
      </c>
    </row>
    <row r="3" spans="1:5" x14ac:dyDescent="0.55000000000000004">
      <c r="A3" t="s">
        <v>23</v>
      </c>
    </row>
    <row r="5" spans="1:5" x14ac:dyDescent="0.55000000000000004">
      <c r="A5" t="s">
        <v>24</v>
      </c>
    </row>
    <row r="6" spans="1:5" x14ac:dyDescent="0.55000000000000004">
      <c r="A6" t="s">
        <v>25</v>
      </c>
    </row>
    <row r="8" spans="1:5" ht="28.8" x14ac:dyDescent="0.55000000000000004">
      <c r="A8" t="s">
        <v>26</v>
      </c>
      <c r="B8" t="s">
        <v>29</v>
      </c>
      <c r="C8" s="1" t="s">
        <v>28</v>
      </c>
      <c r="D8" s="1" t="s">
        <v>32</v>
      </c>
      <c r="E8" t="s">
        <v>30</v>
      </c>
    </row>
    <row r="9" spans="1:5" x14ac:dyDescent="0.55000000000000004">
      <c r="A9" t="s">
        <v>34</v>
      </c>
      <c r="B9">
        <v>7</v>
      </c>
      <c r="C9" t="s">
        <v>35</v>
      </c>
      <c r="D9" t="s">
        <v>35</v>
      </c>
      <c r="E9" t="s">
        <v>35</v>
      </c>
    </row>
    <row r="10" spans="1:5" x14ac:dyDescent="0.55000000000000004">
      <c r="A10" t="s">
        <v>33</v>
      </c>
      <c r="B10">
        <v>7.3</v>
      </c>
      <c r="D10">
        <v>0.4</v>
      </c>
      <c r="E10">
        <f>1/D10</f>
        <v>2.5</v>
      </c>
    </row>
    <row r="11" spans="1:5" x14ac:dyDescent="0.55000000000000004">
      <c r="A11" t="s">
        <v>31</v>
      </c>
      <c r="B11">
        <v>7.5</v>
      </c>
      <c r="C11">
        <f>B11*D11</f>
        <v>2.25</v>
      </c>
      <c r="D11" s="5">
        <v>0.3</v>
      </c>
      <c r="E11" s="5">
        <f>1/D11</f>
        <v>3.3333333333333335</v>
      </c>
    </row>
    <row r="12" spans="1:5" x14ac:dyDescent="0.55000000000000004">
      <c r="A12" t="s">
        <v>37</v>
      </c>
      <c r="B12">
        <v>7.9</v>
      </c>
      <c r="C12">
        <v>2.9</v>
      </c>
      <c r="D12" s="5">
        <f>1/E12</f>
        <v>0.36708860759493667</v>
      </c>
      <c r="E12" s="5">
        <f>B12 / C12</f>
        <v>2.7241379310344831</v>
      </c>
    </row>
    <row r="13" spans="1:5" x14ac:dyDescent="0.55000000000000004">
      <c r="A13" t="s">
        <v>36</v>
      </c>
      <c r="B13">
        <v>30</v>
      </c>
      <c r="C13">
        <v>9.5</v>
      </c>
      <c r="D13" s="5">
        <f>1/E13</f>
        <v>0.31666666666666665</v>
      </c>
      <c r="E13" s="5">
        <f>B13/C13</f>
        <v>3.1578947368421053</v>
      </c>
    </row>
    <row r="14" spans="1:5" x14ac:dyDescent="0.55000000000000004">
      <c r="A14" t="s">
        <v>27</v>
      </c>
      <c r="B14">
        <v>53</v>
      </c>
      <c r="C14">
        <v>14</v>
      </c>
      <c r="D14" s="5">
        <f>1/E14</f>
        <v>0.26415094339622641</v>
      </c>
      <c r="E14" s="5">
        <f>B14/C14</f>
        <v>3.7857142857142856</v>
      </c>
    </row>
    <row r="17" spans="1:2" ht="43.2" x14ac:dyDescent="0.55000000000000004">
      <c r="A17" t="s">
        <v>39</v>
      </c>
      <c r="B17" s="1" t="s">
        <v>41</v>
      </c>
    </row>
    <row r="18" spans="1:2" x14ac:dyDescent="0.55000000000000004">
      <c r="A18" t="s">
        <v>40</v>
      </c>
      <c r="B18">
        <v>2.5</v>
      </c>
    </row>
  </sheetData>
  <sortState xmlns:xlrd2="http://schemas.microsoft.com/office/spreadsheetml/2017/richdata2" ref="A9:E14">
    <sortCondition ref="B9:B1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high confidence</vt:lpstr>
      <vt:lpstr>rough estimates</vt:lpstr>
      <vt:lpstr>Rate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Pauline Data Ward</dc:creator>
  <cp:lastModifiedBy>Pauline Data Ward</cp:lastModifiedBy>
  <dcterms:created xsi:type="dcterms:W3CDTF">2025-04-07T20:42:28Z</dcterms:created>
  <dcterms:modified xsi:type="dcterms:W3CDTF">2025-04-24T15:47:52Z</dcterms:modified>
</cp:coreProperties>
</file>